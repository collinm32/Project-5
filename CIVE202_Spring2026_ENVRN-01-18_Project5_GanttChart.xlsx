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C:\Users\Owner\OneDrive - University of Nebraska-Lincoln\Documents\"/>
    </mc:Choice>
  </mc:AlternateContent>
  <xr:revisionPtr revIDLastSave="0" documentId="8_{8B81E2CD-4CDB-4542-AB87-D116DAA99E69}" xr6:coauthVersionLast="47" xr6:coauthVersionMax="47" xr10:uidLastSave="{00000000-0000-0000-0000-000000000000}"/>
  <bookViews>
    <workbookView xWindow="-108" yWindow="-108" windowWidth="23256" windowHeight="12456" xr2:uid="{00000000-000D-0000-FFFF-FFFF00000000}"/>
  </bookViews>
  <sheets>
    <sheet name="GanttChart" sheetId="9" r:id="rId1"/>
  </sheets>
  <definedNames>
    <definedName name="prevWBS" localSheetId="0">GanttChart!$A1048576</definedName>
    <definedName name="_xlnm.Print_Area" localSheetId="0">GanttChart!$A$1:$BN$18</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9" l="1"/>
  <c r="F11" i="9"/>
  <c r="I11" i="9" s="1"/>
  <c r="A12" i="9"/>
  <c r="F18" i="9"/>
  <c r="I18" i="9" s="1"/>
  <c r="F9" i="9"/>
  <c r="F10" i="9"/>
  <c r="F8" i="9"/>
  <c r="I8" i="9" s="1"/>
  <c r="F13" i="9" l="1"/>
  <c r="K6" i="9"/>
  <c r="F16" i="9" l="1"/>
  <c r="I16" i="9" s="1"/>
  <c r="I13" i="9"/>
  <c r="I10" i="9"/>
  <c r="I9" i="9"/>
  <c r="F17" i="9"/>
  <c r="I17" i="9" s="1"/>
  <c r="K7" i="9"/>
  <c r="K4" i="9"/>
  <c r="A8" i="9"/>
  <c r="I14" i="9" l="1"/>
  <c r="F15" i="9" l="1"/>
  <c r="I15" i="9" s="1"/>
  <c r="L6" i="9" l="1"/>
  <c r="M6" i="9" l="1"/>
  <c r="N6" i="9" l="1"/>
  <c r="O6" i="9" l="1"/>
  <c r="K5" i="9"/>
  <c r="F12" i="9" l="1"/>
  <c r="I12" i="9" s="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0" i="9" s="1"/>
  <c r="A13" i="9" l="1"/>
  <c r="A14" i="9" s="1"/>
  <c r="A15" i="9" s="1"/>
  <c r="A16" i="9" s="1"/>
  <c r="A17" i="9" s="1"/>
  <c r="A18"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<sst xmlns="http://schemas.openxmlformats.org/spreadsheetml/2006/main" count="35" uniqueCount="29">
  <si>
    <t>CIVE 202 Project 5 Schedule</t>
  </si>
  <si>
    <t>ENVRN-01-18 (Collin Mangnall, Connor Preble, Max Smith, Cameron Skeels)</t>
  </si>
  <si>
    <t xml:space="preserve">Project Start Date </t>
  </si>
  <si>
    <t xml:space="preserve">Display Week </t>
  </si>
  <si>
    <t xml:space="preserve">Project Lead </t>
  </si>
  <si>
    <t>WBS</t>
  </si>
  <si>
    <t>TASK</t>
  </si>
  <si>
    <t>LEAD</t>
  </si>
  <si>
    <t>PREDECESSOR</t>
  </si>
  <si>
    <t>START</t>
  </si>
  <si>
    <t>END</t>
  </si>
  <si>
    <t>DAYS</t>
  </si>
  <si>
    <t>% DONE</t>
  </si>
  <si>
    <t>WORK DAYS</t>
  </si>
  <si>
    <t>Project #5</t>
  </si>
  <si>
    <t>Data Clearing and Analysis</t>
  </si>
  <si>
    <t>Max</t>
  </si>
  <si>
    <t>Scope of Work</t>
  </si>
  <si>
    <t>Collin</t>
  </si>
  <si>
    <t>Gantt Chart</t>
  </si>
  <si>
    <t>Cameron</t>
  </si>
  <si>
    <t>Engineering Timesheet</t>
  </si>
  <si>
    <t>Connor</t>
  </si>
  <si>
    <t>Python Coding</t>
  </si>
  <si>
    <t>Analysis of Bias and Ethics</t>
  </si>
  <si>
    <t>Results Validation</t>
  </si>
  <si>
    <t>Annotated Code Document</t>
  </si>
  <si>
    <t>Written Report</t>
  </si>
  <si>
    <t>GitHub 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</si>
</sst>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4"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59">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0" fillId="21" borderId="10" xfId="0" applyFont="1" applyFill="1" applyBorder="1" applyAlignment="1">
      <alignment vertical="center"/>
    </xf>
    <xf numFmtId="0" fontId="30" fillId="0" borderId="10" xfId="0" applyFont="1" applyBorder="1" applyAlignment="1">
      <alignment horizontal="left" vertical="center"/>
    </xf>
    <xf numFmtId="0" fontId="30" fillId="0" borderId="10" xfId="0" applyFont="1" applyBorder="1" applyAlignment="1">
      <alignment vertical="center"/>
    </xf>
    <xf numFmtId="1" fontId="35" fillId="23" borderId="11" xfId="0" applyNumberFormat="1" applyFont="1" applyFill="1" applyBorder="1" applyAlignment="1">
      <alignment horizontal="center" vertical="center"/>
    </xf>
    <xf numFmtId="9" fontId="35" fillId="23" borderId="11" xfId="40" applyFont="1" applyFill="1" applyBorder="1" applyAlignment="1" applyProtection="1">
      <alignment horizontal="center" vertical="center"/>
    </xf>
    <xf numFmtId="1" fontId="35" fillId="0" borderId="11" xfId="0" applyNumberFormat="1" applyFont="1" applyBorder="1" applyAlignment="1">
      <alignment horizontal="center" vertical="center"/>
    </xf>
    <xf numFmtId="166" fontId="3" fillId="0" borderId="12" xfId="0" applyNumberFormat="1" applyFont="1" applyBorder="1" applyAlignment="1">
      <alignment horizontal="center" vertical="center" shrinkToFit="1"/>
    </xf>
    <xf numFmtId="0" fontId="34" fillId="21" borderId="13" xfId="0" applyFont="1" applyFill="1" applyBorder="1" applyAlignment="1">
      <alignment horizontal="left" vertical="center"/>
    </xf>
    <xf numFmtId="0" fontId="34" fillId="21" borderId="13" xfId="0" applyFont="1" applyFill="1" applyBorder="1" applyAlignment="1">
      <alignment vertical="center"/>
    </xf>
    <xf numFmtId="0" fontId="30" fillId="21" borderId="13" xfId="0" applyFont="1" applyFill="1" applyBorder="1" applyAlignment="1">
      <alignment vertical="center"/>
    </xf>
    <xf numFmtId="0" fontId="30" fillId="21" borderId="13" xfId="0" applyFont="1" applyFill="1" applyBorder="1" applyAlignment="1">
      <alignment horizontal="center" vertical="center"/>
    </xf>
    <xf numFmtId="165" fontId="30" fillId="21" borderId="13" xfId="0" applyNumberFormat="1" applyFont="1" applyFill="1" applyBorder="1" applyAlignment="1">
      <alignment horizontal="right" vertical="center"/>
    </xf>
    <xf numFmtId="1" fontId="30" fillId="21" borderId="13" xfId="40" applyNumberFormat="1" applyFont="1" applyFill="1" applyBorder="1" applyAlignment="1" applyProtection="1">
      <alignment horizontal="center" vertical="center"/>
    </xf>
    <xf numFmtId="9" fontId="30" fillId="21" borderId="13" xfId="40" applyFont="1" applyFill="1" applyBorder="1" applyAlignment="1" applyProtection="1">
      <alignment horizontal="center" vertical="center"/>
    </xf>
    <xf numFmtId="1" fontId="30" fillId="21" borderId="13" xfId="0" applyNumberFormat="1" applyFont="1" applyFill="1" applyBorder="1" applyAlignment="1">
      <alignment horizontal="center" vertical="center"/>
    </xf>
    <xf numFmtId="166" fontId="3" fillId="0" borderId="15"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 fontId="37" fillId="21" borderId="13" xfId="0" applyNumberFormat="1" applyFont="1" applyFill="1" applyBorder="1" applyAlignment="1">
      <alignment horizontal="center" vertical="center"/>
    </xf>
    <xf numFmtId="1" fontId="38" fillId="0" borderId="11" xfId="0" applyNumberFormat="1" applyFont="1" applyBorder="1" applyAlignment="1">
      <alignment horizontal="center" vertical="center"/>
    </xf>
    <xf numFmtId="165" fontId="35" fillId="22" borderId="11" xfId="0" applyNumberFormat="1" applyFont="1" applyFill="1" applyBorder="1" applyAlignment="1">
      <alignment horizontal="center" vertical="center"/>
    </xf>
    <xf numFmtId="165" fontId="35" fillId="0" borderId="11" xfId="0" applyNumberFormat="1" applyFont="1" applyBorder="1" applyAlignment="1">
      <alignment horizontal="center" vertical="center"/>
    </xf>
    <xf numFmtId="0" fontId="30" fillId="21" borderId="13" xfId="0" applyFont="1" applyFill="1" applyBorder="1" applyAlignment="1">
      <alignment horizontal="left" vertical="center"/>
    </xf>
    <xf numFmtId="9" fontId="30" fillId="0" borderId="10" xfId="0" applyNumberFormat="1" applyFont="1" applyBorder="1" applyAlignment="1">
      <alignment horizontal="left" vertical="center"/>
    </xf>
    <xf numFmtId="0" fontId="39" fillId="0" borderId="0" xfId="0" applyFont="1"/>
    <xf numFmtId="0" fontId="39" fillId="0" borderId="0" xfId="0" applyFont="1" applyAlignment="1">
      <alignment horizontal="right" vertical="center"/>
    </xf>
    <xf numFmtId="165" fontId="30" fillId="21" borderId="13" xfId="0" applyNumberFormat="1" applyFont="1" applyFill="1" applyBorder="1" applyAlignment="1">
      <alignment horizontal="center" vertical="center"/>
    </xf>
    <xf numFmtId="0" fontId="40" fillId="0" borderId="17" xfId="0" applyFont="1" applyBorder="1" applyAlignment="1">
      <alignment horizontal="left" vertical="center"/>
    </xf>
    <xf numFmtId="0" fontId="40" fillId="0" borderId="17" xfId="0" applyFont="1" applyBorder="1" applyAlignment="1">
      <alignment horizontal="center" vertical="center" wrapText="1"/>
    </xf>
    <xf numFmtId="0" fontId="41" fillId="0" borderId="17" xfId="0" applyFont="1" applyBorder="1" applyAlignment="1">
      <alignment horizontal="center" vertical="center" wrapText="1"/>
    </xf>
    <xf numFmtId="0" fontId="40" fillId="0" borderId="17" xfId="0" applyFont="1" applyBorder="1" applyAlignment="1">
      <alignment horizontal="center" vertical="center"/>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0" fontId="30" fillId="0" borderId="20" xfId="0" applyFont="1" applyBorder="1" applyAlignment="1">
      <alignment horizontal="center" vertical="center" shrinkToFit="1"/>
    </xf>
    <xf numFmtId="0" fontId="42" fillId="0" borderId="0" xfId="0" applyFont="1" applyAlignment="1" applyProtection="1">
      <alignment vertical="center"/>
      <protection locked="0"/>
    </xf>
    <xf numFmtId="0" fontId="30" fillId="0" borderId="10" xfId="0" applyFont="1" applyBorder="1" applyAlignment="1">
      <alignment vertical="center" wrapText="1"/>
    </xf>
    <xf numFmtId="0" fontId="35" fillId="0" borderId="11" xfId="0" applyFont="1" applyBorder="1" applyAlignment="1">
      <alignment horizontal="center" vertical="center"/>
    </xf>
    <xf numFmtId="0" fontId="30" fillId="0" borderId="10" xfId="0" applyFont="1" applyBorder="1" applyAlignment="1">
      <alignment horizontal="left" vertical="center" wrapText="1" indent="1"/>
    </xf>
    <xf numFmtId="0" fontId="33" fillId="0" borderId="21"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43" fillId="0" borderId="0" xfId="34" applyFont="1" applyBorder="1" applyAlignment="1" applyProtection="1">
      <alignment horizontal="left" vertical="center"/>
    </xf>
    <xf numFmtId="164" fontId="33" fillId="0" borderId="14" xfId="0" applyNumberFormat="1" applyFont="1" applyBorder="1" applyAlignment="1" applyProtection="1">
      <alignment horizontal="center" vertical="center" shrinkToFit="1"/>
      <protection locked="0"/>
    </xf>
    <xf numFmtId="0" fontId="36" fillId="0" borderId="15" xfId="0" applyFont="1" applyBorder="1" applyAlignment="1">
      <alignment horizontal="center" vertical="center"/>
    </xf>
    <xf numFmtId="0" fontId="36" fillId="0" borderId="12" xfId="0" applyFont="1" applyBorder="1" applyAlignment="1">
      <alignment horizontal="center" vertical="center"/>
    </xf>
    <xf numFmtId="0" fontId="36" fillId="0" borderId="16" xfId="0" applyFont="1" applyBorder="1" applyAlignment="1">
      <alignment horizontal="center" vertical="center"/>
    </xf>
    <xf numFmtId="164" fontId="33" fillId="0" borderId="21" xfId="0" applyNumberFormat="1" applyFont="1" applyBorder="1" applyAlignment="1" applyProtection="1">
      <alignment horizontal="center" vertical="center" shrinkToFit="1"/>
      <protection locked="0"/>
    </xf>
    <xf numFmtId="167" fontId="33" fillId="0" borderId="15" xfId="0" applyNumberFormat="1" applyFont="1" applyBorder="1" applyAlignment="1">
      <alignment horizontal="center" vertical="center"/>
    </xf>
    <xf numFmtId="167" fontId="33" fillId="0" borderId="12" xfId="0" applyNumberFormat="1" applyFont="1" applyBorder="1" applyAlignment="1">
      <alignment horizontal="center" vertical="center"/>
    </xf>
    <xf numFmtId="167" fontId="33" fillId="0" borderId="16" xfId="0" applyNumberFormat="1" applyFont="1" applyBorder="1" applyAlignment="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croll" dx="22" fmlaLink="$H$4" horiz="1" max="100" min="1" page="0" val="4"/>
</file>

<file path=xl/drawings/drawing1.xml><?xml version="1.0" encoding="utf-8"?>
<xdr:wsDr xmlns:xdr="http://schemas.openxmlformats.org/drawingml/2006/spreadsheetDrawing" xmlns:a="http://schemas.openxmlformats.org/drawingml/2006/main">
  <xdr:twoCellAnchor editAs="absolute">
    <xdr:from>
      <xdr:col>8</xdr:col>
      <xdr:colOff>266700</xdr:colOff>
      <xdr:row>5</xdr:row>
      <xdr:rowOff>142875</xdr:rowOff>
    </xdr:from>
    <xdr:to>
      <xdr:col>29</xdr:col>
      <xdr:colOff>57150</xdr:colOff>
      <xdr:row>10</xdr:row>
      <xdr:rowOff>11853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99060</xdr:colOff>
          <xdr:row>1</xdr:row>
          <xdr:rowOff>137160</xdr:rowOff>
        </xdr:from>
        <xdr:to>
          <xdr:col>27</xdr:col>
          <xdr:colOff>99060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19"/>
  <sheetViews>
    <sheetView showGridLines="0" tabSelected="1" zoomScaleNormal="100" workbookViewId="0">
      <pane ySplit="7" topLeftCell="A8" activePane="bottomLeft" state="frozen"/>
      <selection pane="bottomLeft" activeCell="H5" sqref="H5"/>
    </sheetView>
  </sheetViews>
  <sheetFormatPr defaultColWidth="9.109375" defaultRowHeight="13.2" x14ac:dyDescent="0.25"/>
  <cols>
    <col min="1" max="1" width="6.6640625" customWidth="1"/>
    <col min="2" max="2" width="19" customWidth="1"/>
    <col min="3" max="3" width="7.6640625" customWidth="1"/>
    <col min="4" max="4" width="6.6640625" hidden="1" customWidth="1"/>
    <col min="5" max="6" width="12" customWidth="1"/>
    <col min="7" max="7" width="6" customWidth="1"/>
    <col min="8" max="8" width="6.6640625" customWidth="1"/>
    <col min="9" max="9" width="6.33203125" customWidth="1"/>
    <col min="10" max="10" width="1.6640625" customWidth="1"/>
    <col min="11" max="66" width="2.33203125" customWidth="1"/>
  </cols>
  <sheetData>
    <row r="1" spans="1:66" ht="30" customHeight="1" x14ac:dyDescent="0.25">
      <c r="A1" s="43" t="s">
        <v>0</v>
      </c>
      <c r="B1" s="6"/>
      <c r="C1" s="6"/>
      <c r="D1" s="6"/>
      <c r="E1" s="6"/>
      <c r="F1" s="6"/>
      <c r="I1" s="48"/>
      <c r="K1" s="50"/>
      <c r="L1" s="50"/>
      <c r="M1" s="50"/>
      <c r="N1" s="50"/>
      <c r="O1" s="50"/>
      <c r="P1" s="50"/>
      <c r="Q1" s="50"/>
      <c r="R1" s="50"/>
      <c r="S1" s="50"/>
      <c r="T1" s="50"/>
      <c r="U1" s="50"/>
      <c r="V1" s="50"/>
      <c r="W1" s="50"/>
      <c r="X1" s="50"/>
      <c r="Y1" s="50"/>
      <c r="Z1" s="50"/>
      <c r="AA1" s="50"/>
      <c r="AB1" s="50"/>
      <c r="AC1" s="50"/>
      <c r="AD1" s="50"/>
      <c r="AE1" s="50"/>
    </row>
    <row r="2" spans="1:66" ht="18" customHeight="1" x14ac:dyDescent="0.25">
      <c r="A2" s="9" t="s">
        <v>1</v>
      </c>
      <c r="B2" s="2"/>
      <c r="C2" s="2"/>
      <c r="D2" s="5"/>
      <c r="E2" s="49"/>
      <c r="F2" s="49"/>
      <c r="H2" s="1"/>
    </row>
    <row r="3" spans="1:66" ht="13.8" x14ac:dyDescent="0.25">
      <c r="A3" s="9"/>
      <c r="B3" s="7"/>
      <c r="H3" s="1"/>
      <c r="K3" s="3"/>
      <c r="L3" s="3"/>
      <c r="M3" s="3"/>
      <c r="N3" s="3"/>
      <c r="O3" s="3"/>
      <c r="P3" s="3"/>
      <c r="Q3" s="3"/>
      <c r="R3" s="3"/>
      <c r="S3" s="3"/>
      <c r="T3" s="3"/>
      <c r="U3" s="3"/>
      <c r="V3" s="3"/>
      <c r="W3" s="3"/>
      <c r="X3" s="3"/>
      <c r="Y3" s="3"/>
      <c r="Z3" s="3"/>
      <c r="AA3" s="3"/>
    </row>
    <row r="4" spans="1:66" ht="17.25" customHeight="1" x14ac:dyDescent="0.25">
      <c r="A4" s="33"/>
      <c r="B4" s="34" t="s">
        <v>2</v>
      </c>
      <c r="C4" s="55">
        <v>46077</v>
      </c>
      <c r="D4" s="55"/>
      <c r="E4" s="55"/>
      <c r="F4" s="33"/>
      <c r="G4" s="34" t="s">
        <v>3</v>
      </c>
      <c r="H4" s="47">
        <v>4</v>
      </c>
      <c r="I4" s="7"/>
      <c r="J4" s="8"/>
      <c r="K4" s="52" t="str">
        <f>"Week "&amp;(K6-($C$4-WEEKDAY($C$4,1)+2))/7+1</f>
        <v>Week 4</v>
      </c>
      <c r="L4" s="53"/>
      <c r="M4" s="53"/>
      <c r="N4" s="53"/>
      <c r="O4" s="53"/>
      <c r="P4" s="53"/>
      <c r="Q4" s="54"/>
      <c r="R4" s="52" t="str">
        <f>"Week "&amp;(R6-($C$4-WEEKDAY($C$4,1)+2))/7+1</f>
        <v>Week 5</v>
      </c>
      <c r="S4" s="53"/>
      <c r="T4" s="53"/>
      <c r="U4" s="53"/>
      <c r="V4" s="53"/>
      <c r="W4" s="53"/>
      <c r="X4" s="54"/>
      <c r="Y4" s="52" t="str">
        <f>"Week "&amp;(Y6-($C$4-WEEKDAY($C$4,1)+2))/7+1</f>
        <v>Week 6</v>
      </c>
      <c r="Z4" s="53"/>
      <c r="AA4" s="53"/>
      <c r="AB4" s="53"/>
      <c r="AC4" s="53"/>
      <c r="AD4" s="53"/>
      <c r="AE4" s="54"/>
      <c r="AF4" s="52" t="str">
        <f>"Week "&amp;(AF6-($C$4-WEEKDAY($C$4,1)+2))/7+1</f>
        <v>Week 7</v>
      </c>
      <c r="AG4" s="53"/>
      <c r="AH4" s="53"/>
      <c r="AI4" s="53"/>
      <c r="AJ4" s="53"/>
      <c r="AK4" s="53"/>
      <c r="AL4" s="54"/>
      <c r="AM4" s="52" t="str">
        <f>"Week "&amp;(AM6-($C$4-WEEKDAY($C$4,1)+2))/7+1</f>
        <v>Week 8</v>
      </c>
      <c r="AN4" s="53"/>
      <c r="AO4" s="53"/>
      <c r="AP4" s="53"/>
      <c r="AQ4" s="53"/>
      <c r="AR4" s="53"/>
      <c r="AS4" s="54"/>
      <c r="AT4" s="52" t="str">
        <f>"Week "&amp;(AT6-($C$4-WEEKDAY($C$4,1)+2))/7+1</f>
        <v>Week 9</v>
      </c>
      <c r="AU4" s="53"/>
      <c r="AV4" s="53"/>
      <c r="AW4" s="53"/>
      <c r="AX4" s="53"/>
      <c r="AY4" s="53"/>
      <c r="AZ4" s="54"/>
      <c r="BA4" s="52" t="str">
        <f>"Week "&amp;(BA6-($C$4-WEEKDAY($C$4,1)+2))/7+1</f>
        <v>Week 10</v>
      </c>
      <c r="BB4" s="53"/>
      <c r="BC4" s="53"/>
      <c r="BD4" s="53"/>
      <c r="BE4" s="53"/>
      <c r="BF4" s="53"/>
      <c r="BG4" s="54"/>
      <c r="BH4" s="52" t="str">
        <f>"Week "&amp;(BH6-($C$4-WEEKDAY($C$4,1)+2))/7+1</f>
        <v>Week 11</v>
      </c>
      <c r="BI4" s="53"/>
      <c r="BJ4" s="53"/>
      <c r="BK4" s="53"/>
      <c r="BL4" s="53"/>
      <c r="BM4" s="53"/>
      <c r="BN4" s="54"/>
    </row>
    <row r="5" spans="1:66" ht="17.25" customHeight="1" x14ac:dyDescent="0.25">
      <c r="A5" s="33"/>
      <c r="B5" s="34" t="s">
        <v>4</v>
      </c>
      <c r="C5" s="51"/>
      <c r="D5" s="51"/>
      <c r="E5" s="51"/>
      <c r="F5" s="33"/>
      <c r="G5" s="33"/>
      <c r="H5" s="33"/>
      <c r="I5" s="33"/>
      <c r="J5" s="8"/>
      <c r="K5" s="56">
        <f>K6</f>
        <v>46097</v>
      </c>
      <c r="L5" s="57"/>
      <c r="M5" s="57"/>
      <c r="N5" s="57"/>
      <c r="O5" s="57"/>
      <c r="P5" s="57"/>
      <c r="Q5" s="58"/>
      <c r="R5" s="56">
        <f>R6</f>
        <v>46104</v>
      </c>
      <c r="S5" s="57"/>
      <c r="T5" s="57"/>
      <c r="U5" s="57"/>
      <c r="V5" s="57"/>
      <c r="W5" s="57"/>
      <c r="X5" s="58"/>
      <c r="Y5" s="56">
        <f>Y6</f>
        <v>46111</v>
      </c>
      <c r="Z5" s="57"/>
      <c r="AA5" s="57"/>
      <c r="AB5" s="57"/>
      <c r="AC5" s="57"/>
      <c r="AD5" s="57"/>
      <c r="AE5" s="58"/>
      <c r="AF5" s="56">
        <f>AF6</f>
        <v>46118</v>
      </c>
      <c r="AG5" s="57"/>
      <c r="AH5" s="57"/>
      <c r="AI5" s="57"/>
      <c r="AJ5" s="57"/>
      <c r="AK5" s="57"/>
      <c r="AL5" s="58"/>
      <c r="AM5" s="56">
        <f>AM6</f>
        <v>46125</v>
      </c>
      <c r="AN5" s="57"/>
      <c r="AO5" s="57"/>
      <c r="AP5" s="57"/>
      <c r="AQ5" s="57"/>
      <c r="AR5" s="57"/>
      <c r="AS5" s="58"/>
      <c r="AT5" s="56">
        <f>AT6</f>
        <v>46132</v>
      </c>
      <c r="AU5" s="57"/>
      <c r="AV5" s="57"/>
      <c r="AW5" s="57"/>
      <c r="AX5" s="57"/>
      <c r="AY5" s="57"/>
      <c r="AZ5" s="58"/>
      <c r="BA5" s="56">
        <f>BA6</f>
        <v>46139</v>
      </c>
      <c r="BB5" s="57"/>
      <c r="BC5" s="57"/>
      <c r="BD5" s="57"/>
      <c r="BE5" s="57"/>
      <c r="BF5" s="57"/>
      <c r="BG5" s="58"/>
      <c r="BH5" s="56">
        <f>BH6</f>
        <v>46146</v>
      </c>
      <c r="BI5" s="57"/>
      <c r="BJ5" s="57"/>
      <c r="BK5" s="57"/>
      <c r="BL5" s="57"/>
      <c r="BM5" s="57"/>
      <c r="BN5" s="58"/>
    </row>
    <row r="6" spans="1:66" x14ac:dyDescent="0.25">
      <c r="A6" s="8"/>
      <c r="B6" s="8"/>
      <c r="C6" s="8"/>
      <c r="D6" s="8"/>
      <c r="E6" s="8"/>
      <c r="F6" s="8"/>
      <c r="G6" s="8"/>
      <c r="H6" s="8"/>
      <c r="I6" s="8"/>
      <c r="J6" s="8"/>
      <c r="K6" s="25">
        <f>C4-WEEKDAY(C4,1)+2+7*(H4-1)</f>
        <v>46097</v>
      </c>
      <c r="L6" s="16">
        <f t="shared" ref="L6:AQ6" si="0">K6+1</f>
        <v>46098</v>
      </c>
      <c r="M6" s="16">
        <f t="shared" si="0"/>
        <v>46099</v>
      </c>
      <c r="N6" s="16">
        <f t="shared" si="0"/>
        <v>46100</v>
      </c>
      <c r="O6" s="16">
        <f t="shared" si="0"/>
        <v>46101</v>
      </c>
      <c r="P6" s="16">
        <f t="shared" si="0"/>
        <v>46102</v>
      </c>
      <c r="Q6" s="26">
        <f t="shared" si="0"/>
        <v>46103</v>
      </c>
      <c r="R6" s="25">
        <f t="shared" si="0"/>
        <v>46104</v>
      </c>
      <c r="S6" s="16">
        <f t="shared" si="0"/>
        <v>46105</v>
      </c>
      <c r="T6" s="16">
        <f t="shared" si="0"/>
        <v>46106</v>
      </c>
      <c r="U6" s="16">
        <f t="shared" si="0"/>
        <v>46107</v>
      </c>
      <c r="V6" s="16">
        <f t="shared" si="0"/>
        <v>46108</v>
      </c>
      <c r="W6" s="16">
        <f t="shared" si="0"/>
        <v>46109</v>
      </c>
      <c r="X6" s="26">
        <f t="shared" si="0"/>
        <v>46110</v>
      </c>
      <c r="Y6" s="25">
        <f t="shared" si="0"/>
        <v>46111</v>
      </c>
      <c r="Z6" s="16">
        <f t="shared" si="0"/>
        <v>46112</v>
      </c>
      <c r="AA6" s="16">
        <f t="shared" si="0"/>
        <v>46113</v>
      </c>
      <c r="AB6" s="16">
        <f t="shared" si="0"/>
        <v>46114</v>
      </c>
      <c r="AC6" s="16">
        <f t="shared" si="0"/>
        <v>46115</v>
      </c>
      <c r="AD6" s="16">
        <f t="shared" si="0"/>
        <v>46116</v>
      </c>
      <c r="AE6" s="26">
        <f t="shared" si="0"/>
        <v>46117</v>
      </c>
      <c r="AF6" s="25">
        <f t="shared" si="0"/>
        <v>46118</v>
      </c>
      <c r="AG6" s="16">
        <f t="shared" si="0"/>
        <v>46119</v>
      </c>
      <c r="AH6" s="16">
        <f t="shared" si="0"/>
        <v>46120</v>
      </c>
      <c r="AI6" s="16">
        <f t="shared" si="0"/>
        <v>46121</v>
      </c>
      <c r="AJ6" s="16">
        <f t="shared" si="0"/>
        <v>46122</v>
      </c>
      <c r="AK6" s="16">
        <f t="shared" si="0"/>
        <v>46123</v>
      </c>
      <c r="AL6" s="26">
        <f t="shared" si="0"/>
        <v>46124</v>
      </c>
      <c r="AM6" s="25">
        <f t="shared" si="0"/>
        <v>46125</v>
      </c>
      <c r="AN6" s="16">
        <f t="shared" si="0"/>
        <v>46126</v>
      </c>
      <c r="AO6" s="16">
        <f t="shared" si="0"/>
        <v>46127</v>
      </c>
      <c r="AP6" s="16">
        <f t="shared" si="0"/>
        <v>46128</v>
      </c>
      <c r="AQ6" s="16">
        <f t="shared" si="0"/>
        <v>46129</v>
      </c>
      <c r="AR6" s="16">
        <f t="shared" ref="AR6:BN6" si="1">AQ6+1</f>
        <v>46130</v>
      </c>
      <c r="AS6" s="26">
        <f t="shared" si="1"/>
        <v>46131</v>
      </c>
      <c r="AT6" s="25">
        <f t="shared" si="1"/>
        <v>46132</v>
      </c>
      <c r="AU6" s="16">
        <f t="shared" si="1"/>
        <v>46133</v>
      </c>
      <c r="AV6" s="16">
        <f t="shared" si="1"/>
        <v>46134</v>
      </c>
      <c r="AW6" s="16">
        <f t="shared" si="1"/>
        <v>46135</v>
      </c>
      <c r="AX6" s="16">
        <f t="shared" si="1"/>
        <v>46136</v>
      </c>
      <c r="AY6" s="16">
        <f t="shared" si="1"/>
        <v>46137</v>
      </c>
      <c r="AZ6" s="26">
        <f t="shared" si="1"/>
        <v>46138</v>
      </c>
      <c r="BA6" s="25">
        <f t="shared" si="1"/>
        <v>46139</v>
      </c>
      <c r="BB6" s="16">
        <f t="shared" si="1"/>
        <v>46140</v>
      </c>
      <c r="BC6" s="16">
        <f t="shared" si="1"/>
        <v>46141</v>
      </c>
      <c r="BD6" s="16">
        <f t="shared" si="1"/>
        <v>46142</v>
      </c>
      <c r="BE6" s="16">
        <f t="shared" si="1"/>
        <v>46143</v>
      </c>
      <c r="BF6" s="16">
        <f t="shared" si="1"/>
        <v>46144</v>
      </c>
      <c r="BG6" s="26">
        <f t="shared" si="1"/>
        <v>46145</v>
      </c>
      <c r="BH6" s="25">
        <f t="shared" si="1"/>
        <v>46146</v>
      </c>
      <c r="BI6" s="16">
        <f t="shared" si="1"/>
        <v>46147</v>
      </c>
      <c r="BJ6" s="16">
        <f t="shared" si="1"/>
        <v>46148</v>
      </c>
      <c r="BK6" s="16">
        <f t="shared" si="1"/>
        <v>46149</v>
      </c>
      <c r="BL6" s="16">
        <f t="shared" si="1"/>
        <v>46150</v>
      </c>
      <c r="BM6" s="16">
        <f t="shared" si="1"/>
        <v>46151</v>
      </c>
      <c r="BN6" s="26">
        <f t="shared" si="1"/>
        <v>46152</v>
      </c>
    </row>
    <row r="7" spans="1:66" s="7" customFormat="1" ht="24.6" thickBot="1" x14ac:dyDescent="0.3">
      <c r="A7" s="36" t="s">
        <v>5</v>
      </c>
      <c r="B7" s="36" t="s">
        <v>6</v>
      </c>
      <c r="C7" s="37" t="s">
        <v>7</v>
      </c>
      <c r="D7" s="38" t="s">
        <v>8</v>
      </c>
      <c r="E7" s="39" t="s">
        <v>9</v>
      </c>
      <c r="F7" s="39" t="s">
        <v>10</v>
      </c>
      <c r="G7" s="37" t="s">
        <v>11</v>
      </c>
      <c r="H7" s="37" t="s">
        <v>12</v>
      </c>
      <c r="I7" s="37" t="s">
        <v>13</v>
      </c>
      <c r="J7" s="37"/>
      <c r="K7" s="40" t="str">
        <f t="shared" ref="K7:AP7" si="2">CHOOSE(WEEKDAY(K6,1),"S","M","T","W","T","F","S")</f>
        <v>M</v>
      </c>
      <c r="L7" s="41" t="str">
        <f t="shared" si="2"/>
        <v>T</v>
      </c>
      <c r="M7" s="41" t="str">
        <f t="shared" si="2"/>
        <v>W</v>
      </c>
      <c r="N7" s="41" t="str">
        <f t="shared" si="2"/>
        <v>T</v>
      </c>
      <c r="O7" s="41" t="str">
        <f t="shared" si="2"/>
        <v>F</v>
      </c>
      <c r="P7" s="41" t="str">
        <f t="shared" si="2"/>
        <v>S</v>
      </c>
      <c r="Q7" s="42" t="str">
        <f t="shared" si="2"/>
        <v>S</v>
      </c>
      <c r="R7" s="40" t="str">
        <f t="shared" si="2"/>
        <v>M</v>
      </c>
      <c r="S7" s="41" t="str">
        <f t="shared" si="2"/>
        <v>T</v>
      </c>
      <c r="T7" s="41" t="str">
        <f t="shared" si="2"/>
        <v>W</v>
      </c>
      <c r="U7" s="41" t="str">
        <f t="shared" si="2"/>
        <v>T</v>
      </c>
      <c r="V7" s="41" t="str">
        <f t="shared" si="2"/>
        <v>F</v>
      </c>
      <c r="W7" s="41" t="str">
        <f t="shared" si="2"/>
        <v>S</v>
      </c>
      <c r="X7" s="42" t="str">
        <f t="shared" si="2"/>
        <v>S</v>
      </c>
      <c r="Y7" s="40" t="str">
        <f t="shared" si="2"/>
        <v>M</v>
      </c>
      <c r="Z7" s="41" t="str">
        <f t="shared" si="2"/>
        <v>T</v>
      </c>
      <c r="AA7" s="41" t="str">
        <f t="shared" si="2"/>
        <v>W</v>
      </c>
      <c r="AB7" s="41" t="str">
        <f t="shared" si="2"/>
        <v>T</v>
      </c>
      <c r="AC7" s="41" t="str">
        <f t="shared" si="2"/>
        <v>F</v>
      </c>
      <c r="AD7" s="41" t="str">
        <f t="shared" si="2"/>
        <v>S</v>
      </c>
      <c r="AE7" s="42" t="str">
        <f t="shared" si="2"/>
        <v>S</v>
      </c>
      <c r="AF7" s="40" t="str">
        <f t="shared" si="2"/>
        <v>M</v>
      </c>
      <c r="AG7" s="41" t="str">
        <f t="shared" si="2"/>
        <v>T</v>
      </c>
      <c r="AH7" s="41" t="str">
        <f t="shared" si="2"/>
        <v>W</v>
      </c>
      <c r="AI7" s="41" t="str">
        <f t="shared" si="2"/>
        <v>T</v>
      </c>
      <c r="AJ7" s="41" t="str">
        <f t="shared" si="2"/>
        <v>F</v>
      </c>
      <c r="AK7" s="41" t="str">
        <f t="shared" si="2"/>
        <v>S</v>
      </c>
      <c r="AL7" s="42" t="str">
        <f t="shared" si="2"/>
        <v>S</v>
      </c>
      <c r="AM7" s="40" t="str">
        <f t="shared" si="2"/>
        <v>M</v>
      </c>
      <c r="AN7" s="41" t="str">
        <f t="shared" si="2"/>
        <v>T</v>
      </c>
      <c r="AO7" s="41" t="str">
        <f t="shared" si="2"/>
        <v>W</v>
      </c>
      <c r="AP7" s="41" t="str">
        <f t="shared" si="2"/>
        <v>T</v>
      </c>
      <c r="AQ7" s="41" t="str">
        <f t="shared" ref="AQ7:BN7" si="3">CHOOSE(WEEKDAY(AQ6,1),"S","M","T","W","T","F","S")</f>
        <v>F</v>
      </c>
      <c r="AR7" s="41" t="str">
        <f t="shared" si="3"/>
        <v>S</v>
      </c>
      <c r="AS7" s="42" t="str">
        <f t="shared" si="3"/>
        <v>S</v>
      </c>
      <c r="AT7" s="40" t="str">
        <f t="shared" si="3"/>
        <v>M</v>
      </c>
      <c r="AU7" s="41" t="str">
        <f t="shared" si="3"/>
        <v>T</v>
      </c>
      <c r="AV7" s="41" t="str">
        <f t="shared" si="3"/>
        <v>W</v>
      </c>
      <c r="AW7" s="41" t="str">
        <f t="shared" si="3"/>
        <v>T</v>
      </c>
      <c r="AX7" s="41" t="str">
        <f t="shared" si="3"/>
        <v>F</v>
      </c>
      <c r="AY7" s="41" t="str">
        <f t="shared" si="3"/>
        <v>S</v>
      </c>
      <c r="AZ7" s="42" t="str">
        <f t="shared" si="3"/>
        <v>S</v>
      </c>
      <c r="BA7" s="40" t="str">
        <f t="shared" si="3"/>
        <v>M</v>
      </c>
      <c r="BB7" s="41" t="str">
        <f t="shared" si="3"/>
        <v>T</v>
      </c>
      <c r="BC7" s="41" t="str">
        <f t="shared" si="3"/>
        <v>W</v>
      </c>
      <c r="BD7" s="41" t="str">
        <f t="shared" si="3"/>
        <v>T</v>
      </c>
      <c r="BE7" s="41" t="str">
        <f t="shared" si="3"/>
        <v>F</v>
      </c>
      <c r="BF7" s="41" t="str">
        <f t="shared" si="3"/>
        <v>S</v>
      </c>
      <c r="BG7" s="42" t="str">
        <f t="shared" si="3"/>
        <v>S</v>
      </c>
      <c r="BH7" s="40" t="str">
        <f t="shared" si="3"/>
        <v>M</v>
      </c>
      <c r="BI7" s="41" t="str">
        <f t="shared" si="3"/>
        <v>T</v>
      </c>
      <c r="BJ7" s="41" t="str">
        <f t="shared" si="3"/>
        <v>W</v>
      </c>
      <c r="BK7" s="41" t="str">
        <f t="shared" si="3"/>
        <v>T</v>
      </c>
      <c r="BL7" s="41" t="str">
        <f t="shared" si="3"/>
        <v>F</v>
      </c>
      <c r="BM7" s="41" t="str">
        <f t="shared" si="3"/>
        <v>S</v>
      </c>
      <c r="BN7" s="42" t="str">
        <f t="shared" si="3"/>
        <v>S</v>
      </c>
    </row>
    <row r="8" spans="1:66" s="10" customFormat="1" ht="17.399999999999999" x14ac:dyDescent="0.25">
      <c r="A8" s="17" t="str">
        <f>IF(ISERROR(VALUE(SUBSTITUTE(prevWBS,".",""))),"1",IF(ISERROR(FIND("`",SUBSTITUTE(prevWBS,".","`",1))),TEXT(VALUE(prevWBS)+1,"#"),TEXT(VALUE(LEFT(prevWBS,FIND("`",SUBSTITUTE(prevWBS,".","`",1))-1))+1,"#")))</f>
        <v>1</v>
      </c>
      <c r="B8" s="18" t="s">
        <v>14</v>
      </c>
      <c r="C8" s="19"/>
      <c r="D8" s="20"/>
      <c r="E8" s="21"/>
      <c r="F8" s="35" t="str">
        <f>IF(ISBLANK(E8)," - ",IF(G8=0,E8,E8+G8-1))</f>
        <v xml:space="preserve"> - </v>
      </c>
      <c r="G8" s="22"/>
      <c r="H8" s="23"/>
      <c r="I8" s="24" t="str">
        <f t="shared" ref="I8:I18" si="4">IF(OR(F8=0,E8=0)," - ",NETWORKDAYS(E8,F8))</f>
        <v xml:space="preserve"> - </v>
      </c>
      <c r="J8" s="27"/>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row>
    <row r="9" spans="1:66" s="12" customFormat="1" ht="22.8" x14ac:dyDescent="0.25">
      <c r="A9" s="11" t="str">
        <f t="shared" ref="A9:A18"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44" t="s">
        <v>15</v>
      </c>
      <c r="C9" s="12" t="s">
        <v>16</v>
      </c>
      <c r="D9" s="45"/>
      <c r="E9" s="29">
        <v>46077</v>
      </c>
      <c r="F9" s="30">
        <f>IF(ISBLANK(E9)," - ",IF(G9=0,E9,E9+G9-1))</f>
        <v>46081</v>
      </c>
      <c r="G9" s="13">
        <v>5</v>
      </c>
      <c r="H9" s="14">
        <v>1</v>
      </c>
      <c r="I9" s="15">
        <f t="shared" si="4"/>
        <v>4</v>
      </c>
      <c r="J9" s="28"/>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row>
    <row r="10" spans="1:66" s="12" customFormat="1" ht="17.399999999999999" x14ac:dyDescent="0.25">
      <c r="A10" s="11" t="str">
        <f t="shared" si="5"/>
        <v>1.2</v>
      </c>
      <c r="B10" s="44" t="s">
        <v>17</v>
      </c>
      <c r="C10" s="12" t="s">
        <v>18</v>
      </c>
      <c r="D10" s="45"/>
      <c r="E10" s="29">
        <v>46077</v>
      </c>
      <c r="F10" s="30">
        <f>IF(ISBLANK(E10)," - ",IF(G10=0,E10,E10+G10-1))</f>
        <v>46080</v>
      </c>
      <c r="G10" s="13">
        <v>4</v>
      </c>
      <c r="H10" s="14">
        <v>1</v>
      </c>
      <c r="I10" s="15">
        <f t="shared" si="4"/>
        <v>4</v>
      </c>
      <c r="J10" s="28"/>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row>
    <row r="11" spans="1:66" s="12" customFormat="1" ht="17.399999999999999" x14ac:dyDescent="0.25">
      <c r="A11" s="11">
        <v>1.3</v>
      </c>
      <c r="B11" s="44" t="s">
        <v>19</v>
      </c>
      <c r="C11" s="12" t="s">
        <v>20</v>
      </c>
      <c r="D11" s="45"/>
      <c r="E11" s="29">
        <v>46084</v>
      </c>
      <c r="F11" s="30">
        <f>IF(ISBLANK(E11)," - ",IF(G11=0,E11,E11+G11-1))</f>
        <v>46087</v>
      </c>
      <c r="G11" s="13">
        <v>4</v>
      </c>
      <c r="H11" s="14">
        <v>1</v>
      </c>
      <c r="I11" s="15">
        <f t="shared" si="4"/>
        <v>4</v>
      </c>
      <c r="J11" s="28"/>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row>
    <row r="12" spans="1:66" s="12" customFormat="1" ht="17.399999999999999" x14ac:dyDescent="0.25">
      <c r="A12" s="11"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v>
      </c>
      <c r="B12" s="44" t="s">
        <v>21</v>
      </c>
      <c r="C12" s="12" t="s">
        <v>22</v>
      </c>
      <c r="D12" s="45"/>
      <c r="E12" s="29">
        <v>46087</v>
      </c>
      <c r="F12" s="30">
        <f t="shared" ref="F12:F18" si="6">IF(ISBLANK(E12)," - ",IF(G12=0,E12,E12+G12-1))</f>
        <v>46150</v>
      </c>
      <c r="G12" s="13">
        <v>64</v>
      </c>
      <c r="H12" s="14">
        <v>0.25</v>
      </c>
      <c r="I12" s="15">
        <f t="shared" si="4"/>
        <v>46</v>
      </c>
      <c r="J12" s="28"/>
      <c r="K12" s="11"/>
      <c r="L12" s="11"/>
      <c r="M12" s="32"/>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row>
    <row r="13" spans="1:66" s="12" customFormat="1" ht="17.399999999999999" x14ac:dyDescent="0.25">
      <c r="A13" s="11" t="str">
        <f t="shared" si="5"/>
        <v>1.5</v>
      </c>
      <c r="B13" s="44" t="s">
        <v>23</v>
      </c>
      <c r="C13" s="12" t="s">
        <v>20</v>
      </c>
      <c r="D13" s="45"/>
      <c r="E13" s="29">
        <v>46093</v>
      </c>
      <c r="F13" s="30">
        <f t="shared" si="6"/>
        <v>46113</v>
      </c>
      <c r="G13" s="13">
        <v>21</v>
      </c>
      <c r="H13" s="14">
        <v>0</v>
      </c>
      <c r="I13" s="15">
        <f t="shared" si="4"/>
        <v>15</v>
      </c>
      <c r="J13" s="28"/>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row>
    <row r="14" spans="1:66" s="12" customFormat="1" ht="22.8" x14ac:dyDescent="0.25">
      <c r="A14" s="11"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1.5.1</v>
      </c>
      <c r="B14" s="46" t="s">
        <v>24</v>
      </c>
      <c r="C14" s="12" t="s">
        <v>22</v>
      </c>
      <c r="D14" s="45"/>
      <c r="E14" s="29">
        <v>46112</v>
      </c>
      <c r="F14" s="30">
        <f>IF(ISBLANK(E14)," - ",IF(G14=0,E14,E14+G14-1))</f>
        <v>46115</v>
      </c>
      <c r="G14" s="13">
        <v>4</v>
      </c>
      <c r="H14" s="14">
        <v>0</v>
      </c>
      <c r="I14" s="15">
        <f t="shared" si="4"/>
        <v>4</v>
      </c>
      <c r="J14" s="28"/>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row>
    <row r="15" spans="1:66" s="12" customFormat="1" ht="17.399999999999999" x14ac:dyDescent="0.25">
      <c r="A15" s="11"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1.5.2</v>
      </c>
      <c r="B15" s="46" t="s">
        <v>25</v>
      </c>
      <c r="C15" s="12" t="s">
        <v>18</v>
      </c>
      <c r="D15" s="45"/>
      <c r="E15" s="29">
        <v>46113</v>
      </c>
      <c r="F15" s="30">
        <f t="shared" si="6"/>
        <v>46118</v>
      </c>
      <c r="G15" s="13">
        <v>6</v>
      </c>
      <c r="H15" s="14">
        <v>0</v>
      </c>
      <c r="I15" s="15">
        <f t="shared" si="4"/>
        <v>4</v>
      </c>
      <c r="J15" s="28"/>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row>
    <row r="16" spans="1:66" s="12" customFormat="1" ht="22.8" x14ac:dyDescent="0.25">
      <c r="A16" s="11" t="str">
        <f t="shared" si="5"/>
        <v>1.6</v>
      </c>
      <c r="B16" s="44" t="s">
        <v>26</v>
      </c>
      <c r="C16" s="12" t="s">
        <v>16</v>
      </c>
      <c r="D16" s="45"/>
      <c r="E16" s="29">
        <v>46118</v>
      </c>
      <c r="F16" s="30">
        <f t="shared" si="6"/>
        <v>46127</v>
      </c>
      <c r="G16" s="13">
        <v>10</v>
      </c>
      <c r="H16" s="14">
        <v>0</v>
      </c>
      <c r="I16" s="15">
        <f t="shared" si="4"/>
        <v>8</v>
      </c>
      <c r="J16" s="28"/>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row>
    <row r="17" spans="1:66" s="12" customFormat="1" ht="17.399999999999999" x14ac:dyDescent="0.25">
      <c r="A17" s="11" t="str">
        <f t="shared" si="5"/>
        <v>1.7</v>
      </c>
      <c r="B17" s="44" t="s">
        <v>27</v>
      </c>
      <c r="C17" s="12" t="s">
        <v>18</v>
      </c>
      <c r="D17" s="45"/>
      <c r="E17" s="29">
        <v>46137</v>
      </c>
      <c r="F17" s="30">
        <f t="shared" si="6"/>
        <v>46150</v>
      </c>
      <c r="G17" s="13">
        <v>14</v>
      </c>
      <c r="H17" s="14">
        <v>0</v>
      </c>
      <c r="I17" s="15">
        <f t="shared" si="4"/>
        <v>10</v>
      </c>
      <c r="J17" s="28"/>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row>
    <row r="18" spans="1:66" s="12" customFormat="1" ht="17.399999999999999" x14ac:dyDescent="0.25">
      <c r="A18" s="11" t="str">
        <f t="shared" si="5"/>
        <v>1.8</v>
      </c>
      <c r="B18" s="44" t="s">
        <v>28</v>
      </c>
      <c r="C18" s="12" t="s">
        <v>20</v>
      </c>
      <c r="D18" s="45"/>
      <c r="E18" s="29">
        <v>46080</v>
      </c>
      <c r="F18" s="30">
        <f t="shared" si="6"/>
        <v>46150</v>
      </c>
      <c r="G18" s="13">
        <v>71</v>
      </c>
      <c r="H18" s="14">
        <v>0</v>
      </c>
      <c r="I18" s="15">
        <f t="shared" si="4"/>
        <v>51</v>
      </c>
      <c r="J18" s="28"/>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row>
    <row r="19" spans="1:66" s="4" customFormat="1" x14ac:dyDescent="0.25"/>
  </sheetData>
  <sheetProtection formatCells="0" formatColumns="0" formatRows="0" insertRows="0" deleteRows="0"/>
  <mergeCells count="19">
    <mergeCell ref="AF4:AL4"/>
    <mergeCell ref="AF5:AL5"/>
    <mergeCell ref="BH4:BN4"/>
    <mergeCell ref="BH5:BN5"/>
    <mergeCell ref="AM5:AS5"/>
    <mergeCell ref="AT4:AZ4"/>
    <mergeCell ref="AT5:AZ5"/>
    <mergeCell ref="AM4:AS4"/>
    <mergeCell ref="BA4:BG4"/>
    <mergeCell ref="BA5:BG5"/>
    <mergeCell ref="K1:AE1"/>
    <mergeCell ref="C5:E5"/>
    <mergeCell ref="R4:X4"/>
    <mergeCell ref="K4:Q4"/>
    <mergeCell ref="C4:E4"/>
    <mergeCell ref="R5:X5"/>
    <mergeCell ref="K5:Q5"/>
    <mergeCell ref="Y4:AE4"/>
    <mergeCell ref="Y5:AE5"/>
  </mergeCells>
  <phoneticPr fontId="3" type="noConversion"/>
  <conditionalFormatting sqref="H8:H18">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3" priority="45">
      <formula>K$6=TODAY()</formula>
    </cfRule>
  </conditionalFormatting>
  <conditionalFormatting sqref="K6:BN18">
    <cfRule type="expression" dxfId="2" priority="8">
      <formula>K$6=TODAY()</formula>
    </cfRule>
  </conditionalFormatting>
  <conditionalFormatting sqref="K8:BN18">
    <cfRule type="expression" dxfId="1" priority="48">
      <formula>AND($E8&lt;=K$6,ROUNDDOWN(($F8-$E8+1)*$H8,0)+$E8-1&gt;=K$6)</formula>
    </cfRule>
    <cfRule type="expression" dxfId="0" priority="49">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ignoredErrors>
    <ignoredError sqref="H9"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99060</xdr:colOff>
                    <xdr:row>1</xdr:row>
                    <xdr:rowOff>137160</xdr:rowOff>
                  </from>
                  <to>
                    <xdr:col>27</xdr:col>
                    <xdr:colOff>99060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H8:H18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13BDF199B2F7A44A7B3C70F4EA79324" ma:contentTypeVersion="9" ma:contentTypeDescription="Create a new document." ma:contentTypeScope="" ma:versionID="f6af98c2151c5e8e53cd21dad31944f4">
  <xsd:schema xmlns:xsd="http://www.w3.org/2001/XMLSchema" xmlns:xs="http://www.w3.org/2001/XMLSchema" xmlns:p="http://schemas.microsoft.com/office/2006/metadata/properties" xmlns:ns3="e9421992-1748-4946-9df7-7dcc5eeedeef" targetNamespace="http://schemas.microsoft.com/office/2006/metadata/properties" ma:root="true" ma:fieldsID="e4ad65f3bfe24aa33d44ec5812131da8" ns3:_="">
    <xsd:import namespace="e9421992-1748-4946-9df7-7dcc5eeedee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421992-1748-4946-9df7-7dcc5eeedee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e9421992-1748-4946-9df7-7dcc5eeedeef" xsi:nil="true"/>
  </documentManagement>
</p:properties>
</file>

<file path=customXml/itemProps1.xml><?xml version="1.0" encoding="utf-8"?>
<ds:datastoreItem xmlns:ds="http://schemas.openxmlformats.org/officeDocument/2006/customXml" ds:itemID="{2B62DDE8-F623-4727-B625-14CF6CCFA4EA}">
  <ds:schemaRefs>
    <ds:schemaRef ds:uri="http://schemas.microsoft.com/sharepoint/v3/contenttype/forms"/>
  </ds:schemaRefs>
</ds:datastoreItem>
</file>

<file path=customXml/itemProps2.xml><?xml version="1.0" encoding="utf-8"?>
<ds:datastoreItem xmlns:ds="http://schemas.openxmlformats.org/officeDocument/2006/customXml" ds:itemID="{CAC1D656-225C-4191-A99E-F71A3419DE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421992-1748-4946-9df7-7dcc5eeede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034B4B3-C933-4E8C-AE34-BEAE4315F659}">
  <ds:schemaRefs>
    <ds:schemaRef ds:uri="http://schemas.microsoft.com/office/infopath/2007/PartnerControls"/>
    <ds:schemaRef ds:uri="http://schemas.microsoft.com/office/2006/metadata/properties"/>
    <ds:schemaRef ds:uri="http://www.w3.org/XML/1998/namespace"/>
    <ds:schemaRef ds:uri="http://schemas.microsoft.com/office/2006/documentManagement/types"/>
    <ds:schemaRef ds:uri="http://purl.org/dc/terms/"/>
    <ds:schemaRef ds:uri="http://purl.org/dc/dcmitype/"/>
    <ds:schemaRef ds:uri="e9421992-1748-4946-9df7-7dcc5eeedeef"/>
    <ds:schemaRef ds:uri="http://purl.org/dc/elements/1.1/"/>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Collin Mangnall</cp:lastModifiedBy>
  <cp:revision/>
  <dcterms:created xsi:type="dcterms:W3CDTF">2010-06-09T16:05:03Z</dcterms:created>
  <dcterms:modified xsi:type="dcterms:W3CDTF">2026-03-04T12:28:13Z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y fmtid="{D5CDD505-2E9C-101B-9397-08002B2CF9AE}" pid="5" name="ContentTypeId">
    <vt:lpwstr>0x010100E13BDF199B2F7A44A7B3C70F4EA79324</vt:lpwstr>
  </property>
</Properties>
</file>